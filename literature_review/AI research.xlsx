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earch Matrix" sheetId="1" r:id="rId5"/>
    <sheet state="visible" name="Lists" sheetId="2" r:id="rId6"/>
    <sheet state="visible" name="Guide" sheetId="3" r:id="rId7"/>
    <sheet state="visible" name="Dashboard" sheetId="4" r:id="rId8"/>
  </sheets>
  <definedNames/>
  <calcPr/>
</workbook>
</file>

<file path=xl/sharedStrings.xml><?xml version="1.0" encoding="utf-8"?>
<sst xmlns="http://schemas.openxmlformats.org/spreadsheetml/2006/main" count="203" uniqueCount="172">
  <si>
    <t>Reading Status</t>
  </si>
  <si>
    <t>Research Matrix – How to Use</t>
  </si>
  <si>
    <t>Priority</t>
  </si>
  <si>
    <t>Source Type</t>
  </si>
  <si>
    <t>Methodology</t>
  </si>
  <si>
    <t>Quality Score</t>
  </si>
  <si>
    <t>Not Started</t>
  </si>
  <si>
    <t>High</t>
  </si>
  <si>
    <t>Journal Article</t>
  </si>
  <si>
    <t>Quantitative</t>
  </si>
  <si>
    <t>Skimmed</t>
  </si>
  <si>
    <t>Medium</t>
  </si>
  <si>
    <t>Conference Paper</t>
  </si>
  <si>
    <t>Qualitative</t>
  </si>
  <si>
    <t>Step</t>
  </si>
  <si>
    <t>Reading</t>
  </si>
  <si>
    <t>Low</t>
  </si>
  <si>
    <t>Book Chapter</t>
  </si>
  <si>
    <t>Mixed Methods</t>
  </si>
  <si>
    <t>Action</t>
  </si>
  <si>
    <t>Paper ID</t>
  </si>
  <si>
    <t>1</t>
  </si>
  <si>
    <t>Add each paper as one row in the Research Matrix sheet.</t>
  </si>
  <si>
    <t>2</t>
  </si>
  <si>
    <t>Use dropdowns for Source Type, Methodology, Reading Status, Priority, and Quality Score.</t>
  </si>
  <si>
    <t>Reviewed</t>
  </si>
  <si>
    <t>3</t>
  </si>
  <si>
    <t>Archive</t>
  </si>
  <si>
    <t>Fill Research Gap, Future Work, and Relevance to My Study to support literature review writing.</t>
  </si>
  <si>
    <t>Thesis</t>
  </si>
  <si>
    <t>Systematic Review</t>
  </si>
  <si>
    <t>4</t>
  </si>
  <si>
    <t>Use Source URL / DOI for traceability.</t>
  </si>
  <si>
    <t>Included</t>
  </si>
  <si>
    <t>5</t>
  </si>
  <si>
    <t>Report</t>
  </si>
  <si>
    <t>Use the Dashboard to monitor review progress.</t>
  </si>
  <si>
    <t>Narrative Review</t>
  </si>
  <si>
    <t>Tip</t>
  </si>
  <si>
    <t>Preprint</t>
  </si>
  <si>
    <t>Use Quality Score 1–5 based on credibility, methodology fit, and relevance.</t>
  </si>
  <si>
    <t>Experiment</t>
  </si>
  <si>
    <t>Survey</t>
  </si>
  <si>
    <t>Mark papers as Included only after full review.</t>
  </si>
  <si>
    <t>Case Study</t>
  </si>
  <si>
    <t>Paper Title</t>
  </si>
  <si>
    <t>Authors</t>
  </si>
  <si>
    <t>Published Year</t>
  </si>
  <si>
    <t>Journal / Conference</t>
  </si>
  <si>
    <t>Research Area / Keywords</t>
  </si>
  <si>
    <t>Dataset / Link</t>
  </si>
  <si>
    <t>Key Findings</t>
  </si>
  <si>
    <t>Research Gap</t>
  </si>
  <si>
    <t>Future Work</t>
  </si>
  <si>
    <t>Relevance to My Study</t>
  </si>
  <si>
    <t>Notes / Action</t>
  </si>
  <si>
    <t>Source URL / DOI</t>
  </si>
  <si>
    <t>P001</t>
  </si>
  <si>
    <t>Brilliant AI Doctor" in Rural Clinics: Challenges in AI-Powered Clinical Decision Support System Deployment</t>
  </si>
  <si>
    <t>Dakuo Wang, Liuping Wang, Zhan Zhang, Ding Wang, Haiyi Zhu, Yvonne Gao, Xiangmin Fan, Feng Tian</t>
  </si>
  <si>
    <t>CHI '21 Proceedings of the 2021 CHI Conference on Human Factors in Computing Systems, Yokohama, Japan</t>
  </si>
  <si>
    <t>AI-powered Clinical Decision Support Systems (AI-CDSS); Human-AI Collaboration; Trust in AI; Explainability; Healthcare AI deployment; Developing-country healthcare IT; Clinical workflow</t>
  </si>
  <si>
    <t>No public dataset. Primary qualitative data interview transcripts, observation logs, and field photographs collected directly by the authors during fieldwork in Pinggu county, Beijing, China; not publicly released</t>
  </si>
  <si>
    <t>The AI-CDSS ("Brilliant Doctor") frequently went unused because its designed workflow assumed 10+ minutes per patient, while actual rural consultations lasted only 2–4 minutes. About 80% of visits were routine refills or referrals that didn't need AI diagnostic support. The system lacked integration with pharmacy and lab systems, had poor support for surgical and Traditional Chinese Medicine cases, and its "black box" reasoning limited clinician trust. Despite this, clinicians valued it as a diagnostic second opinion, a medical reference tool, and a training aid for junior staff and consistently framed it as an assistant, not a replacement for human judgment</t>
  </si>
  <si>
    <t>Prior AI-CDSS literature concentrated on algorithmic/technical performance and was based almost entirely in developed-country settings; little was known about how clinicians actually use these systems post-deployment, particularly in resource-constrained, rural, developing-country clinical contexts</t>
  </si>
  <si>
    <t>The authors call for designing explainable AI systems tailored to clinical settings, developing voice-based/hands-free data entry to reduce documentation burden, integrating AI-CDSS with pharmacy and lab systems, incorporating patient-facing self-triage tools, and defining a clear division of labor between clinician and AI within a "cooperative" human-AI collaboration model</t>
  </si>
  <si>
    <t>Directly supports the research gap and ethical-implications discussion for Task 01 and Task 07: motivates why our project includes SHAP-based explainability (addressing the "black box" trust problem this paper identifies), and informs prototype design choices (Task 08) by cautioning against overly rigid, time-consuming input flows like the paper's "Click-Through" mode</t>
  </si>
  <si>
    <t>Use for Task 01 (Research Gap Analysis) and Task 07 (ethical implications / transparency discussion); cite when justifying the SHAP explainability component and the design simplicity of the Streamlit prototype</t>
  </si>
  <si>
    <t>https://doi.org/10.1145/3411764.3445432</t>
  </si>
  <si>
    <t>P002</t>
  </si>
  <si>
    <t>Ignore, Trust, or Negotiate: Understanding Clinician Acceptance of AI-Based Treatment Recommendations in Health Care</t>
  </si>
  <si>
    <t>Venkatesh Sivaraman, Leigh A. Bukowski, Joel Levin, Jeremy M. Kahn, Adam Perer</t>
  </si>
  <si>
    <t>CHI '23 Proceedings of the 2023 CHI Conference on Human Factors in Computing Systems, Hamburg, Germany</t>
  </si>
  <si>
    <t>Human-AI interaction; Clinical Decision Support (CDS); Explainable AI (XAI); Reinforcement learning in healthcare; Trust and reliance calibration; SHAP feature attribution; Treatment recommendation systems</t>
  </si>
  <si>
    <t>MIMIC-IV (Medical Information Mart for Intensive Care, version IV) — a publicly available, de-identified ICU dataset from a large academic medical center. Model trained on a cohort of 18,143 sepsis patients. Code and study interface available on GitHub (https://github.com/cmudig/ai-clinician-explorer)</t>
  </si>
  <si>
    <t>Explanatory visualizations (SHAP-based Feature Explanation and Alternative Treatments) significantly increased clinicians' perceived usefulness of the AI and their confidence, compared to plain text recommendations but did not significantly change actual concordance with the AI's recommendation (42% agreement regardless of explanation type). Rather than a simple binary accept/reject pattern, four distinct reliance behaviors emerged: Ignore (7 participants disregarded the AI entirely), Negotiate (12 participants  the most common group selectively accepted parts of the recommendation, e.g., agreeing on fluids but not vasopressor dosage), Consider (3 participants conditionally deferred to the AI only when uncertain), and Trust (2 participants who always incorporated some part of the AI's advice). Providing explanations also increased perceived case difficulty, suggesting added cognitive load</t>
  </si>
  <si>
    <t>Most prior AI-assisted clinical decision-making research focused on diagnostic or risk-prediction systems with a known ground truth, and modeled clinician reliance as a simple binary (accept/reject) choice. Very little research examined treatment recommendation systems, where there is no single "correct" answer, decisions unfold sequentially over time, and clinician reliance behavior is more nuanced than binary acceptance</t>
  </si>
  <si>
    <t>The authors call for AI systems that better support "negotiation" behavior (e.g., presenting evidence at the level of general treatment strategy rather than rigid specific dosages), further research into the tradeoffs between explanation-driven trust-building and cognitive burden, development of acceptance metrics that capture partial/delayed reliance rather than binary concordance, and collaboration between AI developers and domain experts to validate AI behavior on specific patient subgroups rather than treating the model as uniformly reliable across all cases</t>
  </si>
  <si>
    <t>Strongly supports Task 07 (Explainable AI Analysis): this paper uses the exact same explainability technique our group is using — SHAP — applied to a real clinical prediction pipeline, and provides direct empirical evidence for why we should discuss not just whether our model is explainable, but how explanations are actually interpreted and trusted (or distrusted) by an end user. Also directly informs our Task 01 Research Gap Analysis: it shows that even well-explained AI models face adoption barriers that are behavioral and psychological, not just technical — a nuance we should raise instead of assuming explainability alone guarantees trust. Useful for Task 08 (Prototype) as well, since it demonstrates a concrete design pattern (Feature Explanation using SHAP, paired with a plain-language recommendation) that we can reference when justifying our Streamlit prototype's explanation layout</t>
  </si>
  <si>
    <t>Cite for Task 07 when justifying our choice of SHAP and discussing the ethical/transparency implications of explainability; cite for Task 01's Research Gap Analysis when discussing the difference between technical model accuracy and real-world clinician/user trust; consider referencing their four-category reliance framework (Ignore/Negotiate/Consider/Trust) as a discussion point in Task 09's Results and Discussion section if we want to speculate on how a real clinician might interact with our disease risk prototype</t>
  </si>
  <si>
    <t>https://doi.org/10.1145/3544548.3581075</t>
  </si>
  <si>
    <t>P003</t>
  </si>
  <si>
    <t>Co-design of Human-centered, Explainable AI for Clinical Decision Support</t>
  </si>
  <si>
    <t>Cecilia Panigutti, Andrea Beretta, Daniele Fadda, Fosca Giannotti, Dino Pedreschi, Alan Perotti, Salvatore Rinzivillo</t>
  </si>
  <si>
    <t>ACM Transactions on Interactive Intelligent Systems (TiiS), Vol. 13, No. 4, Article 21 (published December 2023) not a CHI conference paper, but a peer-reviewed ACM journal in the same research community</t>
  </si>
  <si>
    <t>Explainable AI (XAI); Clinical Decision Support Systems (DSS); Human-computer interaction; Co-design / participatory design; Ontology-based explanation; Multi-label classification; Trust calibration; User interface design</t>
  </si>
  <si>
    <r>
      <rPr>
        <rFont val="Arial"/>
        <color rgb="FF000000"/>
        <sz val="10.0"/>
      </rPr>
      <t xml:space="preserve">MIMIC-IV (Medical Information Mart for Intensive Care, version IV) — public, de-identified ICU dataset. Subset used: 43,697 patients with at least two hospital admissions, 164,411 total admissions, 8,259 unique ICD-9 codes. Code available on GitHub (https://github.com/CeciPani/DrXAI); interactive demo at </t>
    </r>
    <r>
      <rPr>
        <rFont val="Arial"/>
        <color rgb="FF1155CC"/>
        <sz val="10.0"/>
        <u/>
      </rPr>
      <t>https://kdd.isti.cnr.it/DrXAI-viz/</t>
    </r>
  </si>
  <si>
    <t>Doctor XAI's fidelity to the underlying black-box model improved when synthetic neighbors were generated using ontological (ICD-9 hierarchy-based) perturbation rather than plain feature perturbation, and when a smaller, more local neighborhood (k=10) was used rather than a larger one. In the human validation study, clinicians relied significantly more on AI advice when given an explanation (higher Weight of Advice) — but this did not translate into higher self-reported confidence, explicit trust, or behavioral intention to use the system, suggesting participants may not have consciously recognized the explanation's influence on their decisions. Open-ended feedback revealed clinicians found the raw ICD-9-code-based explanation overwhelming and preferred natural-language explanations; a redesigned interface using "progressive disclosure" (revealing detail only as requested) was rated more usable in a follow-up heuristic evaluation. A notable qualitative theme was clinicians' fear of being professionally replaced by the AI, independent of whether an explanation was shown</t>
  </si>
  <si>
    <t>Most XAI research (including widely-used model-agnostic methods like LIME and SHAP) focuses on developing the explanation-extraction technique itself, while largely neglecting how that explanation is actually presented to and understood by end users what the authors call the "explanation user interface" (XUI). Additionally, very few XAI techniques in healthcare are co-designed with the actual end users (clinicians) from the outset, and few studies test explanation efficacy specifically on healthcare professionals rather than laypeople or machine learning engineers</t>
  </si>
  <si>
    <t>The authors call for further empirical and theoretical research into the risks of over-reliance and automation bias introduced by more advanced/persuasive XAI interfaces, deeper investigation into how explanations should communicate model uncertainty (which their system did not address), and continued iterative co-design cycles involving clinicians earlier and more directly in interface development rather than testing only after a technically-driven prototype is built</t>
  </si>
  <si>
    <t>Directly supports Task 07 (Explainable AI Analysis): demonstrates that explanation format and presentation not just the underlying explainability technique materially affects whether an explanation is actually useful to an end user, reinforcing that our group should think carefully about how SHAP output is displayed in our Streamlit prototype (Task 08), not just that it exists. The finding that raw technical explanations (ICD-9 codes) were poorly received, while natural-language, progressively-disclosed explanations were preferred, gives us a concrete, citable design justification for keeping our own prototype's SHAP output simple and plain-language rather than a dense technical chart. Also strengthens Task 01's Research Gap Analysis: shows that explainability techniques validated only on technical metrics (fidelity, hit) can still fail in practice if the interface presenting them is not human-centered a nuance worth raising when justifying our own approach to explainability</t>
  </si>
  <si>
    <t>Cite for Task 07 when justifying the design of our SHAP explanation output in the prototype (favor plain-language summaries over raw technical detail); cite for Task 01's Research Gap Analysis on the distinction between technically valid explanations and human-centered ones; the WOA (Weight of Advice) metric and progressive disclosure design principle are both worth a brief mention in Task 09's Discussion section as directions our own prototype could take if extended</t>
  </si>
  <si>
    <t>https://doi.org/10.1145/3587271</t>
  </si>
  <si>
    <t>P004</t>
  </si>
  <si>
    <t>Does the Whole Exceed its Parts? The Effect of AI Explanations on Complementary Team Performance</t>
  </si>
  <si>
    <t>Gagan Bansal, Tongshuang Wu, Joyce Zhou, Raymond Fok, Besmira Nushi, Ece Kamar, Marco Tulio Ribeiro, Daniel S. Weld</t>
  </si>
  <si>
    <t>CHI '21  Proceedings of the 2021 CHI Conference on Human Factors in Computing Systems, Yokohama, Japan</t>
  </si>
  <si>
    <t>Explainable AI (XAI); Human-AI teams; Complementary performance; AI-assisted decision-making; Trust calibration; Over-reliance / automation bias; LIME-based saliency explanations</t>
  </si>
  <si>
    <t>Beer reviews dataset (McAuley et al.), Amazon book reviews dataset (He &amp; McAuley), and an LSAT test-prep question set (Mometrix Test Preparation prep book). Not a clinical/healthcare dataset general-purpose crowdsourcing tasks. Task examples and experiment data publicly released on GitHub (https://github.com/uw-hai/Complementary-Performance)</t>
  </si>
  <si>
    <t>All human-AI team conditions achieved complementary performance (i.e., outperformed either the human or the AI alone) but critically, adding explanations on top of simply showing the AI's confidence score produced no statistically significant improvement in team accuracy, across all three tasks and all explanation strategies tested, including the authors' own novel "Adaptive" method. Explanations tended to increase team accuracy when the AI's recommendation was correct, but decreased accuracy when the AI was wrong  largely canceling out any net benefit. This occurred because explanations increased participants' tendency to accept the AI's recommendation regardless of whether it was actually correct, rather than helping them appropriately calibrate trust. Qualitative analysis found most participants used AI recommendations as a "prior guide" or "post-check" rather than blindly following or ignoring them, and that participants' collaboration style varied depending on how closely AI errors overlapped with their own</t>
  </si>
  <si>
    <t>Prior studies claiming that explanations improve human-AI team performance nearly all did so under conditions where the AI, operating alone, was already more accurate than any human-AI team could be meaning the "improvement" was really just closing part of the accuracy gap toward the AI's already-superior solo performance, not true complementarity. No prior work had rigorously tested whether explanations specifically help teams outperform both the human and the AI working independently, under conditions genuinely designed to allow for that outcome</t>
  </si>
  <si>
    <t>The authors call for developing explanation approaches that inform rather than merely persuade, so users can better detect when the AI's reasoning is actually flawed; exploring explanation and interaction strategies that go beyond confidence scores (e.g., adaptive, devil's-advocate-style, or asynchronously-timed explanations) to reduce anchoring effects; investigating complementarity along dimensions beyond accuracy alone (e.g., speed, trust); and extending this experimental paradigm to high-stakes expert domains such as medical diagnosis, which this study explicitly did not cover</t>
  </si>
  <si>
    <t>Provides an important cautionary counterpoint for Task 07 (Explainable AI Analysis) and Task 01's Research Gap Analysis: while our project uses SHAP to explain the disease risk model's predictions, this paper shows that simply adding an explanation does not automatically improve decision quality or appropriate trust  it can increase blind acceptance of incorrect predictions just as easily as it helps catch them. This is useful for framing the ethical implications discussion in Task 07 honestly (rather than assuming explainability is an unqualified good), and for tempering how confidently we claim our SHAP-based prototype improves clinical decision-making versus simply making the model more transparent. It also reinforces a recurring theme across our literature review (also seen in LR-02 and LR-03): technically sound explanations do not guarantee better human decisions, and this human-behavioral gap is itself a legitimate research limitation to acknowledge in our report</t>
  </si>
  <si>
    <t>Cite for Task 07's ethical implications discussion, specifically to temper claims that adding SHAP explainability straightforwardly improves outcomes cite alongside LR-02 (Sivaraman et al.) and LR-03 (Panigutti et al.) as three converging pieces of evidence that explanation presence alone is not sufficient for appropriate trust calibration. Also useful for Task 09's Discussion/Limitations section when reflecting on what our prototype's explainability layer can and cannot be expected to achieve in practice</t>
  </si>
  <si>
    <t>https://doi.org/10.1145/3411764.3445717</t>
  </si>
  <si>
    <t>P005</t>
  </si>
  <si>
    <t>Machine Learning Risk Prediction for Prolonged Hospitalization in Frail Older Adults with Multimorbidity</t>
  </si>
  <si>
    <t>Innocent Tesha, Wang Jiasi, Zhao Xizhe, Nassor Makame, Maryam Mbarak, Ding Lin, Yue Chen, Maxwell Ahiafor, Sidney Amadi, Njoka Irene, Jermaine Sikombe, Mwila Kafwembe, Deogratius Galikano, Masoud Mtore, Wellington Ngari, Liu Xinyu</t>
  </si>
  <si>
    <t>medRxiv</t>
  </si>
  <si>
    <t>Machine learning risk prediction; Geriatrics; Frailty; Multimorbidity; Hospital length of stay (LOS); Feature selection; SHAP; Explainable AI; Logistic regression; Clinical decision support</t>
  </si>
  <si>
    <t>Private, single-center retrospective dataset (440 patients) from the First Affiliated Hospital of Jinzhou Medical University, China. Not publicly available; the authors state data is available "upon request to the corresponding author"</t>
  </si>
  <si>
    <t>Eight predictors were retained by the ensemble feature-selection process: age, diabetes, hypertension, prior stroke, serum albumin, HDL cholesterol, systolic blood pressure, and neutrophil-to-lymphocyte ratio (NLR). The final logistic regression model achieved good discrimination (test-set AUC = 0.770, 95% CI 0.688–0.853) and acceptable calibration (Hosmer–Lemeshow χ²=14.86, p=0.062), with stability confirmed via cross-validation (mean AUC 0.687) and bootstrap correction (AUC 0.672). Serum albumin was the strongest protective factor; elevated NLR and prior stroke were the strongest risk factors. The team also built a working clinical decision-support application delivering individualized risk estimates, evidence-based recommendations, and exportable PDF reports for EHR integration</t>
  </si>
  <si>
    <t>Research Review Dashboard</t>
  </si>
  <si>
    <t>Existing prediction models for hospital length of stay in older adults largely target general medical populations and rarely incorporate frailty-specific biomarkers alongside multimorbidity; where machine learning has been applied in geriatrics, clinical adoption has been limited by the "black-box" nature and poor interpretability of many ML models. The authors identify a gap for models that combine ML-driven feature discovery with the transparency of traditional regression, specifically for the frail, multimorbid older-adult population</t>
  </si>
  <si>
    <t>The authors call for external validation using multicenter, demographically diverse cohorts (this study was single-center); incorporation of longitudinal/dynamic frailty measures rather than a single admission-time snapshot; and real-world implementation studies to assess clinical impact, usability, and potential subgroup bias once the model is deployed in practice</t>
  </si>
  <si>
    <t>Highly relevant as a technical parallel for Tasks 03, 05, 06, and 07: it demonstrates the same ensemble feature-selection philosophy our group could reference (Elastic Net + SHAP-based importance + Boruta) as a rigorous alternative or complement to our own feature selection approach, and it validates SHAP specifically as a legitimate tool for identifying which clinical/demographic predictors matter most  directly supporting our Task 07 explainability choice. Its explicit design philosophy favoring an interpretable model (logistic regression) informed by ML-based feature discovery, rather than deploying a pure black-box classifier is a useful citable justification if our group discusses trade-offs between model complexity and clinical interpretability in Task 06's model comparison discussion. It's also the closest paper in our review to an actual deployed prototype (a working clinical decision-support app with exportable reports), which is directly comparable to our own Task 08 Streamlit prototype</t>
  </si>
  <si>
    <t>Flag to team/lecturer before finalizing: the coursework spec requires "peer-reviewed research papers"  this is a preprint and technically does not meet that bar yet, even though it's well-executed and highly relevant. Consider either (a) checking with your TA whether a preprint is acceptable as one of the five, or (b) treating this as a sixth, supplementary reference and sourcing one more peer-reviewed paper to safely satisfy the "5 peer-reviewed papers" requirement</t>
  </si>
  <si>
    <t>Metric</t>
  </si>
  <si>
    <t>https://doi.org/10.1101/2025.10.18.25338267</t>
  </si>
  <si>
    <t>Value</t>
  </si>
  <si>
    <t>Status</t>
  </si>
  <si>
    <t>Count</t>
  </si>
  <si>
    <t>Total Papers</t>
  </si>
  <si>
    <t>P006</t>
  </si>
  <si>
    <t>Reviewed / Included</t>
  </si>
  <si>
    <t>P007</t>
  </si>
  <si>
    <t>Included Papers</t>
  </si>
  <si>
    <t>P008</t>
  </si>
  <si>
    <t>High Priority</t>
  </si>
  <si>
    <t>Average Quality</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</si>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</sst>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rgb="FF000000"/>
      <name val="Arial"/>
    </font>
    <font>
      <b/>
      <sz val="16.0"/>
      <color rgb="FFFFFFFF"/>
      <name val="Arial"/>
    </font>
    <font>
      <color theme="1"/>
      <name val="Arial"/>
      <scheme val="minor"/>
    </font>
    <font/>
    <font>
      <b/>
      <sz val="10.0"/>
      <color rgb="FFFFFFFF"/>
      <name val="Roboto"/>
    </font>
    <font>
      <b/>
      <sz val="10.0"/>
      <color rgb="FFFFFFFF"/>
      <name val="Arial"/>
    </font>
    <font>
      <sz val="10.0"/>
      <color rgb="FF000000"/>
      <name val="Arial"/>
    </font>
    <font>
      <u/>
      <sz val="10.0"/>
      <color rgb="FF0000FF"/>
      <name val="Arial"/>
    </font>
    <font>
      <u/>
      <sz val="10.0"/>
      <color rgb="FF000000"/>
      <name val="Arial"/>
    </font>
  </fonts>
  <fills count="4">
    <fill>
      <patternFill patternType="none"/>
    </fill>
    <fill>
      <patternFill patternType="lightGray"/>
    </fill>
    <fill>
      <patternFill patternType="solid">
        <fgColor rgb="FFD9EAF7"/>
        <bgColor rgb="FFD9EAF7"/>
      </patternFill>
    </fill>
    <fill>
      <patternFill patternType="solid">
        <fgColor rgb="FF1F4E78"/>
        <bgColor rgb="FF1F4E78"/>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3" fontId="2" numFmtId="0" xfId="0" applyAlignment="1" applyBorder="1" applyFill="1" applyFont="1">
      <alignment horizontal="center" shrinkToFit="0" wrapText="1"/>
    </xf>
    <xf borderId="0" fillId="0" fontId="3" numFmtId="0" xfId="0" applyFont="1"/>
    <xf borderId="3" fillId="0" fontId="4" numFmtId="0" xfId="0" applyBorder="1" applyFont="1"/>
    <xf borderId="4" fillId="0" fontId="4" numFmtId="0" xfId="0" applyBorder="1" applyFont="1"/>
    <xf borderId="1" fillId="2" fontId="1" numFmtId="0" xfId="0" applyBorder="1" applyFont="1"/>
    <xf borderId="1" fillId="3" fontId="5" numFmtId="0" xfId="0" applyAlignment="1" applyBorder="1" applyFont="1">
      <alignment horizontal="center" readingOrder="0" shrinkToFit="0" vertical="top" wrapText="1"/>
    </xf>
    <xf borderId="1" fillId="3" fontId="6" numFmtId="0" xfId="0" applyAlignment="1" applyBorder="1" applyFont="1">
      <alignment horizontal="center" readingOrder="0" shrinkToFit="0" vertical="top"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1" xfId="0" applyAlignment="1" applyFont="1" applyNumberForma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2" fillId="3" fontId="2" numFmtId="0" xfId="0" applyAlignment="1" applyBorder="1" applyFont="1">
      <alignment horizontal="center"/>
    </xf>
    <xf borderId="0" fillId="0" fontId="1" numFmtId="0" xfId="0" applyFont="1"/>
    <xf borderId="0" fillId="0" fontId="7" numFmtId="1" xfId="0" applyAlignment="1" applyFont="1" applyNumberFormat="1">
      <alignment shrinkToFit="0" vertical="center" wrapText="1"/>
    </xf>
    <xf borderId="0" fillId="0" fontId="7" numFmtId="2" xfId="0" applyFont="1" applyNumberFormat="1"/>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D9E6FC"/>
          <bgColor rgb="FFD9E6FC"/>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font>
      <fill>
        <patternFill patternType="solid">
          <fgColor rgb="FFD9EAD3"/>
          <bgColor rgb="FFD9EAD3"/>
        </patternFill>
      </fill>
      <border/>
    </dxf>
    <dxf>
      <font>
        <b/>
      </font>
      <fill>
        <patternFill patternType="solid">
          <fgColor rgb="FFF4CCCC"/>
          <bgColor rgb="FFF4CCCC"/>
        </patternFill>
      </fill>
      <border/>
    </dxf>
  </dxfs>
  <tableStyles count="1">
    <tableStyle count="4" pivot="0" name="Research Matrix-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Count</c:v>
          </c:tx>
          <c:spPr>
            <a:solidFill>
              <a:schemeClr val="accent1"/>
            </a:solidFill>
            <a:ln cmpd="sng">
              <a:noFill/>
            </a:ln>
          </c:spPr>
          <c:cat>
            <c:strRef>
              <c:f>Dashboard!$D$4:$D$8</c:f>
            </c:strRef>
          </c:cat>
          <c:val>
            <c:numRef>
              <c:f>Dashboard!$E$4:$E$8</c:f>
              <c:numCache/>
            </c:numRef>
          </c:val>
        </c:ser>
        <c:axId val="1230753849"/>
        <c:axId val="26688556"/>
      </c:barChart>
      <c:catAx>
        <c:axId val="1230753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688556"/>
      </c:catAx>
      <c:valAx>
        <c:axId val="266885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30753849"/>
      </c:valAx>
    </c:plotArea>
    <c:legend>
      <c:legendPos val="b"/>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xdr:row>
      <xdr:rowOff>0</xdr:rowOff>
    </xdr:from>
    <xdr:ext cx="5410200" cy="25908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R51" displayName="ResearchMatrix" name="ResearchMatrix" id="1">
  <tableColumns count="18">
    <tableColumn name="Paper ID" id="1"/>
    <tableColumn name="Paper Title" id="2"/>
    <tableColumn name="Authors" id="3"/>
    <tableColumn name="Published Year" id="4"/>
    <tableColumn name="Journal / Conference" id="5"/>
    <tableColumn name="Source Type" id="6"/>
    <tableColumn name="Research Area / Keywords" id="7"/>
    <tableColumn name="Methodology" id="8"/>
    <tableColumn name="Dataset / Link" id="9"/>
    <tableColumn name="Key Findings" id="10"/>
    <tableColumn name="Research Gap" id="11"/>
    <tableColumn name="Future Work" id="12"/>
    <tableColumn name="Relevance to My Study" id="13"/>
    <tableColumn name="Quality Score" id="14"/>
    <tableColumn name="Reading Status" id="15"/>
    <tableColumn name="Priority" id="16"/>
    <tableColumn name="Notes / Action" id="17"/>
    <tableColumn name="Source URL / DOI" id="18"/>
  </tableColumns>
  <tableStyleInfo name="Research Matri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145/3411764.3445432" TargetMode="External"/><Relationship Id="rId2" Type="http://schemas.openxmlformats.org/officeDocument/2006/relationships/hyperlink" Target="https://doi.org/10.1145/3544548.3581075" TargetMode="External"/><Relationship Id="rId3" Type="http://schemas.openxmlformats.org/officeDocument/2006/relationships/hyperlink" Target="https://kdd.isti.cnr.it/DrXAI-viz/" TargetMode="External"/><Relationship Id="rId4" Type="http://schemas.openxmlformats.org/officeDocument/2006/relationships/hyperlink" Target="https://doi.org/10.1145/3587271" TargetMode="External"/><Relationship Id="rId9" Type="http://schemas.openxmlformats.org/officeDocument/2006/relationships/table" Target="../tables/table1.xml"/><Relationship Id="rId5" Type="http://schemas.openxmlformats.org/officeDocument/2006/relationships/hyperlink" Target="https://doi.org/10.1145/3411764.3445717" TargetMode="External"/><Relationship Id="rId6" Type="http://schemas.openxmlformats.org/officeDocument/2006/relationships/hyperlink" Target="https://doi.org/10.1101/2025.10.18.25338267"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32.0"/>
    <col customWidth="1" min="3" max="3" width="24.0"/>
    <col customWidth="1" min="4" max="4" width="14.0"/>
    <col customWidth="1" min="5" max="5" width="28.0"/>
    <col customWidth="1" min="6" max="6" width="16.0"/>
    <col customWidth="1" min="7" max="7" width="28.0"/>
    <col customWidth="1" min="8" max="8" width="20.0"/>
    <col customWidth="1" min="9" max="9" width="24.0"/>
    <col customWidth="1" min="10" max="13" width="30.0"/>
    <col customWidth="1" min="14" max="14" width="12.0"/>
    <col customWidth="1" min="15" max="15" width="16.0"/>
    <col customWidth="1" min="16" max="16" width="12.0"/>
    <col customWidth="1" min="17" max="17" width="30.0"/>
    <col customWidth="1" min="18" max="18" width="26.0"/>
  </cols>
  <sheetData>
    <row r="1" ht="45.0" customHeight="1">
      <c r="A1" s="7" t="s">
        <v>20</v>
      </c>
      <c r="B1" s="7" t="s">
        <v>45</v>
      </c>
      <c r="C1" s="7" t="s">
        <v>46</v>
      </c>
      <c r="D1" s="7" t="s">
        <v>47</v>
      </c>
      <c r="E1" s="7" t="s">
        <v>48</v>
      </c>
      <c r="F1" s="7" t="s">
        <v>3</v>
      </c>
      <c r="G1" s="7" t="s">
        <v>49</v>
      </c>
      <c r="H1" s="7" t="s">
        <v>4</v>
      </c>
      <c r="I1" s="7" t="s">
        <v>50</v>
      </c>
      <c r="J1" s="8" t="s">
        <v>51</v>
      </c>
      <c r="K1" s="8" t="s">
        <v>52</v>
      </c>
      <c r="L1" s="8" t="s">
        <v>53</v>
      </c>
      <c r="M1" s="8" t="s">
        <v>54</v>
      </c>
      <c r="N1" s="8" t="s">
        <v>5</v>
      </c>
      <c r="O1" s="8" t="s">
        <v>0</v>
      </c>
      <c r="P1" s="8" t="s">
        <v>2</v>
      </c>
      <c r="Q1" s="8" t="s">
        <v>55</v>
      </c>
      <c r="R1" s="8" t="s">
        <v>56</v>
      </c>
    </row>
    <row r="2" ht="12.75" customHeight="1">
      <c r="A2" s="9" t="s">
        <v>57</v>
      </c>
      <c r="B2" s="10" t="s">
        <v>58</v>
      </c>
      <c r="C2" s="10" t="s">
        <v>59</v>
      </c>
      <c r="D2" s="11">
        <v>2021.0</v>
      </c>
      <c r="E2" s="10" t="s">
        <v>60</v>
      </c>
      <c r="F2" s="10" t="s">
        <v>12</v>
      </c>
      <c r="G2" s="10" t="s">
        <v>61</v>
      </c>
      <c r="H2" s="10" t="s">
        <v>13</v>
      </c>
      <c r="I2" s="10" t="s">
        <v>62</v>
      </c>
      <c r="J2" s="10" t="s">
        <v>63</v>
      </c>
      <c r="K2" s="10" t="s">
        <v>64</v>
      </c>
      <c r="L2" s="10" t="s">
        <v>65</v>
      </c>
      <c r="M2" s="10" t="s">
        <v>66</v>
      </c>
      <c r="N2" s="11">
        <v>4.0</v>
      </c>
      <c r="O2" s="10" t="s">
        <v>25</v>
      </c>
      <c r="P2" s="10" t="s">
        <v>7</v>
      </c>
      <c r="Q2" s="10" t="s">
        <v>67</v>
      </c>
      <c r="R2" s="12" t="s">
        <v>68</v>
      </c>
    </row>
    <row r="3" ht="12.75" customHeight="1">
      <c r="A3" s="9" t="s">
        <v>69</v>
      </c>
      <c r="B3" s="10" t="s">
        <v>70</v>
      </c>
      <c r="C3" s="10" t="s">
        <v>71</v>
      </c>
      <c r="D3" s="11">
        <v>2023.0</v>
      </c>
      <c r="E3" s="10" t="s">
        <v>72</v>
      </c>
      <c r="F3" s="10" t="s">
        <v>12</v>
      </c>
      <c r="G3" s="10" t="s">
        <v>73</v>
      </c>
      <c r="H3" s="10" t="s">
        <v>18</v>
      </c>
      <c r="I3" s="10" t="s">
        <v>74</v>
      </c>
      <c r="J3" s="10" t="s">
        <v>75</v>
      </c>
      <c r="K3" s="10" t="s">
        <v>76</v>
      </c>
      <c r="L3" s="10" t="s">
        <v>77</v>
      </c>
      <c r="M3" s="10" t="s">
        <v>78</v>
      </c>
      <c r="N3" s="11">
        <v>5.0</v>
      </c>
      <c r="O3" s="10" t="s">
        <v>25</v>
      </c>
      <c r="P3" s="10" t="s">
        <v>7</v>
      </c>
      <c r="Q3" s="10" t="s">
        <v>79</v>
      </c>
      <c r="R3" s="12" t="s">
        <v>80</v>
      </c>
    </row>
    <row r="4" ht="12.75" customHeight="1">
      <c r="A4" s="9" t="s">
        <v>81</v>
      </c>
      <c r="B4" s="10" t="s">
        <v>82</v>
      </c>
      <c r="C4" s="10" t="s">
        <v>83</v>
      </c>
      <c r="D4" s="11">
        <v>2023.0</v>
      </c>
      <c r="E4" s="10" t="s">
        <v>84</v>
      </c>
      <c r="F4" s="10" t="s">
        <v>8</v>
      </c>
      <c r="G4" s="10" t="s">
        <v>85</v>
      </c>
      <c r="H4" s="10" t="s">
        <v>18</v>
      </c>
      <c r="I4" s="13" t="s">
        <v>86</v>
      </c>
      <c r="J4" s="10" t="s">
        <v>87</v>
      </c>
      <c r="K4" s="10" t="s">
        <v>88</v>
      </c>
      <c r="L4" s="10" t="s">
        <v>89</v>
      </c>
      <c r="M4" s="10" t="s">
        <v>90</v>
      </c>
      <c r="N4" s="11">
        <v>4.0</v>
      </c>
      <c r="O4" s="10" t="s">
        <v>25</v>
      </c>
      <c r="P4" s="10" t="s">
        <v>7</v>
      </c>
      <c r="Q4" s="10" t="s">
        <v>91</v>
      </c>
      <c r="R4" s="12" t="s">
        <v>92</v>
      </c>
    </row>
    <row r="5" ht="12.75" customHeight="1">
      <c r="A5" s="9" t="s">
        <v>93</v>
      </c>
      <c r="B5" s="10" t="s">
        <v>94</v>
      </c>
      <c r="C5" s="10" t="s">
        <v>95</v>
      </c>
      <c r="D5" s="11">
        <v>2021.0</v>
      </c>
      <c r="E5" s="10" t="s">
        <v>96</v>
      </c>
      <c r="F5" s="10" t="s">
        <v>12</v>
      </c>
      <c r="G5" s="10" t="s">
        <v>97</v>
      </c>
      <c r="H5" s="10" t="s">
        <v>18</v>
      </c>
      <c r="I5" s="10" t="s">
        <v>98</v>
      </c>
      <c r="J5" s="10" t="s">
        <v>99</v>
      </c>
      <c r="K5" s="10" t="s">
        <v>100</v>
      </c>
      <c r="L5" s="10" t="s">
        <v>101</v>
      </c>
      <c r="M5" s="10" t="s">
        <v>102</v>
      </c>
      <c r="N5" s="11">
        <v>5.0</v>
      </c>
      <c r="O5" s="10" t="s">
        <v>25</v>
      </c>
      <c r="P5" s="10" t="s">
        <v>11</v>
      </c>
      <c r="Q5" s="10" t="s">
        <v>103</v>
      </c>
      <c r="R5" s="12" t="s">
        <v>104</v>
      </c>
    </row>
    <row r="6" ht="12.75" customHeight="1">
      <c r="A6" s="9" t="s">
        <v>105</v>
      </c>
      <c r="B6" s="10" t="s">
        <v>106</v>
      </c>
      <c r="C6" s="10" t="s">
        <v>107</v>
      </c>
      <c r="D6" s="11">
        <v>2025.0</v>
      </c>
      <c r="E6" s="10" t="s">
        <v>108</v>
      </c>
      <c r="F6" s="10" t="s">
        <v>39</v>
      </c>
      <c r="G6" s="10" t="s">
        <v>109</v>
      </c>
      <c r="H6" s="10" t="s">
        <v>18</v>
      </c>
      <c r="I6" s="10" t="s">
        <v>110</v>
      </c>
      <c r="J6" s="10" t="s">
        <v>111</v>
      </c>
      <c r="K6" s="10" t="s">
        <v>113</v>
      </c>
      <c r="L6" s="10" t="s">
        <v>114</v>
      </c>
      <c r="M6" s="10" t="s">
        <v>115</v>
      </c>
      <c r="N6" s="11">
        <v>2.0</v>
      </c>
      <c r="O6" s="10" t="s">
        <v>25</v>
      </c>
      <c r="P6" s="10" t="s">
        <v>11</v>
      </c>
      <c r="Q6" s="10" t="s">
        <v>116</v>
      </c>
      <c r="R6" s="12" t="s">
        <v>118</v>
      </c>
    </row>
    <row r="7" ht="12.75" customHeight="1">
      <c r="A7" s="9" t="s">
        <v>123</v>
      </c>
      <c r="B7" s="9"/>
      <c r="C7" s="9"/>
      <c r="D7" s="16"/>
      <c r="E7" s="9"/>
      <c r="F7" s="9"/>
      <c r="G7" s="9"/>
      <c r="H7" s="9"/>
      <c r="I7" s="9"/>
      <c r="J7" s="9"/>
      <c r="K7" s="9"/>
      <c r="L7" s="9"/>
      <c r="M7" s="9"/>
      <c r="N7" s="16"/>
      <c r="O7" s="9"/>
      <c r="P7" s="9"/>
      <c r="Q7" s="9"/>
      <c r="R7" s="9"/>
    </row>
    <row r="8" ht="12.75" customHeight="1">
      <c r="A8" s="9" t="s">
        <v>125</v>
      </c>
      <c r="B8" s="9"/>
      <c r="C8" s="9"/>
      <c r="D8" s="16"/>
      <c r="E8" s="9"/>
      <c r="F8" s="9"/>
      <c r="G8" s="9"/>
      <c r="H8" s="9"/>
      <c r="I8" s="9"/>
      <c r="J8" s="9"/>
      <c r="K8" s="9"/>
      <c r="L8" s="9"/>
      <c r="M8" s="9"/>
      <c r="N8" s="16"/>
      <c r="O8" s="9"/>
      <c r="P8" s="9"/>
      <c r="Q8" s="9"/>
      <c r="R8" s="9"/>
    </row>
    <row r="9" ht="12.75" customHeight="1">
      <c r="A9" s="9" t="s">
        <v>127</v>
      </c>
      <c r="B9" s="9"/>
      <c r="C9" s="9"/>
      <c r="D9" s="16"/>
      <c r="E9" s="9"/>
      <c r="F9" s="9"/>
      <c r="G9" s="9"/>
      <c r="H9" s="9"/>
      <c r="I9" s="9"/>
      <c r="J9" s="9"/>
      <c r="K9" s="9"/>
      <c r="L9" s="9"/>
      <c r="M9" s="9"/>
      <c r="N9" s="16"/>
      <c r="O9" s="9"/>
      <c r="P9" s="9"/>
      <c r="Q9" s="9"/>
      <c r="R9" s="9"/>
    </row>
    <row r="10" ht="12.75" customHeight="1">
      <c r="A10" s="9" t="s">
        <v>130</v>
      </c>
      <c r="B10" s="9"/>
      <c r="C10" s="9"/>
      <c r="D10" s="16"/>
      <c r="E10" s="9"/>
      <c r="F10" s="9"/>
      <c r="G10" s="9"/>
      <c r="H10" s="9"/>
      <c r="I10" s="9"/>
      <c r="J10" s="9"/>
      <c r="K10" s="9"/>
      <c r="L10" s="9"/>
      <c r="M10" s="9"/>
      <c r="N10" s="16"/>
      <c r="O10" s="9"/>
      <c r="P10" s="9"/>
      <c r="Q10" s="9"/>
      <c r="R10" s="9"/>
    </row>
    <row r="11" ht="12.75" customHeight="1">
      <c r="A11" s="9" t="s">
        <v>131</v>
      </c>
      <c r="B11" s="9"/>
      <c r="C11" s="9"/>
      <c r="D11" s="16"/>
      <c r="E11" s="9"/>
      <c r="F11" s="9"/>
      <c r="G11" s="9"/>
      <c r="H11" s="9"/>
      <c r="I11" s="9"/>
      <c r="J11" s="9"/>
      <c r="K11" s="9"/>
      <c r="L11" s="9"/>
      <c r="M11" s="9"/>
      <c r="N11" s="16"/>
      <c r="O11" s="9"/>
      <c r="P11" s="9"/>
      <c r="Q11" s="9"/>
      <c r="R11" s="9"/>
    </row>
    <row r="12" ht="12.75" customHeight="1">
      <c r="A12" s="9" t="s">
        <v>132</v>
      </c>
      <c r="B12" s="9"/>
      <c r="C12" s="9"/>
      <c r="D12" s="16"/>
      <c r="E12" s="9"/>
      <c r="F12" s="9"/>
      <c r="G12" s="9"/>
      <c r="H12" s="9"/>
      <c r="I12" s="9"/>
      <c r="J12" s="9"/>
      <c r="K12" s="9"/>
      <c r="L12" s="9"/>
      <c r="M12" s="9"/>
      <c r="N12" s="16"/>
      <c r="O12" s="9"/>
      <c r="P12" s="9"/>
      <c r="Q12" s="9"/>
      <c r="R12" s="9"/>
    </row>
    <row r="13" ht="12.75" customHeight="1">
      <c r="A13" s="9" t="s">
        <v>133</v>
      </c>
      <c r="B13" s="9"/>
      <c r="C13" s="9"/>
      <c r="D13" s="16"/>
      <c r="E13" s="9"/>
      <c r="F13" s="9"/>
      <c r="G13" s="9"/>
      <c r="H13" s="9"/>
      <c r="I13" s="9"/>
      <c r="J13" s="9"/>
      <c r="K13" s="9"/>
      <c r="L13" s="9"/>
      <c r="M13" s="9"/>
      <c r="N13" s="16"/>
      <c r="O13" s="9"/>
      <c r="P13" s="9"/>
      <c r="Q13" s="9"/>
      <c r="R13" s="9"/>
    </row>
    <row r="14" ht="12.75" customHeight="1">
      <c r="A14" s="9" t="s">
        <v>134</v>
      </c>
      <c r="B14" s="9"/>
      <c r="C14" s="9"/>
      <c r="D14" s="16"/>
      <c r="E14" s="9"/>
      <c r="F14" s="9"/>
      <c r="G14" s="9"/>
      <c r="H14" s="9"/>
      <c r="I14" s="9"/>
      <c r="J14" s="9"/>
      <c r="K14" s="9"/>
      <c r="L14" s="9"/>
      <c r="M14" s="9"/>
      <c r="N14" s="16"/>
      <c r="O14" s="9"/>
      <c r="P14" s="9"/>
      <c r="Q14" s="9"/>
      <c r="R14" s="9"/>
    </row>
    <row r="15" ht="12.75" customHeight="1">
      <c r="A15" s="9" t="s">
        <v>135</v>
      </c>
      <c r="B15" s="9"/>
      <c r="C15" s="9"/>
      <c r="D15" s="16"/>
      <c r="E15" s="9"/>
      <c r="F15" s="9"/>
      <c r="G15" s="9"/>
      <c r="H15" s="9"/>
      <c r="I15" s="9"/>
      <c r="J15" s="9"/>
      <c r="K15" s="9"/>
      <c r="L15" s="9"/>
      <c r="M15" s="9"/>
      <c r="N15" s="16"/>
      <c r="O15" s="9"/>
      <c r="P15" s="9"/>
      <c r="Q15" s="9"/>
      <c r="R15" s="9"/>
    </row>
    <row r="16" ht="12.75" customHeight="1">
      <c r="A16" s="9" t="s">
        <v>136</v>
      </c>
      <c r="B16" s="9"/>
      <c r="C16" s="9"/>
      <c r="D16" s="16"/>
      <c r="E16" s="9"/>
      <c r="F16" s="9"/>
      <c r="G16" s="9"/>
      <c r="H16" s="9"/>
      <c r="I16" s="9"/>
      <c r="J16" s="9"/>
      <c r="K16" s="9"/>
      <c r="L16" s="9"/>
      <c r="M16" s="9"/>
      <c r="N16" s="16"/>
      <c r="O16" s="9"/>
      <c r="P16" s="9"/>
      <c r="Q16" s="9"/>
      <c r="R16" s="9"/>
    </row>
    <row r="17" ht="12.75" customHeight="1">
      <c r="A17" s="9" t="s">
        <v>137</v>
      </c>
      <c r="B17" s="9"/>
      <c r="C17" s="9"/>
      <c r="D17" s="16"/>
      <c r="E17" s="9"/>
      <c r="F17" s="9"/>
      <c r="G17" s="9"/>
      <c r="H17" s="9"/>
      <c r="I17" s="9"/>
      <c r="J17" s="9"/>
      <c r="K17" s="9"/>
      <c r="L17" s="9"/>
      <c r="M17" s="9"/>
      <c r="N17" s="16"/>
      <c r="O17" s="9"/>
      <c r="P17" s="9"/>
      <c r="Q17" s="9"/>
      <c r="R17" s="9"/>
    </row>
    <row r="18" ht="12.75" customHeight="1">
      <c r="A18" s="9" t="s">
        <v>138</v>
      </c>
      <c r="B18" s="9"/>
      <c r="C18" s="9"/>
      <c r="D18" s="16"/>
      <c r="E18" s="9"/>
      <c r="F18" s="9"/>
      <c r="G18" s="9"/>
      <c r="H18" s="9"/>
      <c r="I18" s="9"/>
      <c r="J18" s="9"/>
      <c r="K18" s="9"/>
      <c r="L18" s="9"/>
      <c r="M18" s="9"/>
      <c r="N18" s="16"/>
      <c r="O18" s="9"/>
      <c r="P18" s="9"/>
      <c r="Q18" s="9"/>
      <c r="R18" s="9"/>
    </row>
    <row r="19" ht="12.75" customHeight="1">
      <c r="A19" s="9" t="s">
        <v>139</v>
      </c>
      <c r="B19" s="9"/>
      <c r="C19" s="9"/>
      <c r="D19" s="16"/>
      <c r="E19" s="9"/>
      <c r="F19" s="9"/>
      <c r="G19" s="9"/>
      <c r="H19" s="9"/>
      <c r="I19" s="9"/>
      <c r="J19" s="9"/>
      <c r="K19" s="9"/>
      <c r="L19" s="9"/>
      <c r="M19" s="9"/>
      <c r="N19" s="16"/>
      <c r="O19" s="9"/>
      <c r="P19" s="9"/>
      <c r="Q19" s="9"/>
      <c r="R19" s="9"/>
    </row>
    <row r="20" ht="12.75" customHeight="1">
      <c r="A20" s="9" t="s">
        <v>140</v>
      </c>
      <c r="B20" s="9"/>
      <c r="C20" s="9"/>
      <c r="D20" s="16"/>
      <c r="E20" s="9"/>
      <c r="F20" s="9"/>
      <c r="G20" s="9"/>
      <c r="H20" s="9"/>
      <c r="I20" s="9"/>
      <c r="J20" s="9"/>
      <c r="K20" s="9"/>
      <c r="L20" s="9"/>
      <c r="M20" s="9"/>
      <c r="N20" s="16"/>
      <c r="O20" s="9"/>
      <c r="P20" s="9"/>
      <c r="Q20" s="9"/>
      <c r="R20" s="9"/>
    </row>
    <row r="21" ht="12.75" customHeight="1">
      <c r="A21" s="9" t="s">
        <v>141</v>
      </c>
      <c r="B21" s="9"/>
      <c r="C21" s="9"/>
      <c r="D21" s="16"/>
      <c r="E21" s="9"/>
      <c r="F21" s="9"/>
      <c r="G21" s="9"/>
      <c r="H21" s="9"/>
      <c r="I21" s="9"/>
      <c r="J21" s="9"/>
      <c r="K21" s="9"/>
      <c r="L21" s="9"/>
      <c r="M21" s="9"/>
      <c r="N21" s="16"/>
      <c r="O21" s="9"/>
      <c r="P21" s="9"/>
      <c r="Q21" s="9"/>
      <c r="R21" s="9"/>
    </row>
    <row r="22" ht="12.75" customHeight="1">
      <c r="A22" s="9" t="s">
        <v>142</v>
      </c>
      <c r="B22" s="9"/>
      <c r="C22" s="9"/>
      <c r="D22" s="16"/>
      <c r="E22" s="9"/>
      <c r="F22" s="9"/>
      <c r="G22" s="9"/>
      <c r="H22" s="9"/>
      <c r="I22" s="9"/>
      <c r="J22" s="9"/>
      <c r="K22" s="9"/>
      <c r="L22" s="9"/>
      <c r="M22" s="9"/>
      <c r="N22" s="16"/>
      <c r="O22" s="9"/>
      <c r="P22" s="9"/>
      <c r="Q22" s="9"/>
      <c r="R22" s="9"/>
    </row>
    <row r="23" ht="12.75" customHeight="1">
      <c r="A23" s="9" t="s">
        <v>143</v>
      </c>
      <c r="B23" s="9"/>
      <c r="C23" s="9"/>
      <c r="D23" s="16"/>
      <c r="E23" s="9"/>
      <c r="F23" s="9"/>
      <c r="G23" s="9"/>
      <c r="H23" s="9"/>
      <c r="I23" s="9"/>
      <c r="J23" s="9"/>
      <c r="K23" s="9"/>
      <c r="L23" s="9"/>
      <c r="M23" s="9"/>
      <c r="N23" s="16"/>
      <c r="O23" s="9"/>
      <c r="P23" s="9"/>
      <c r="Q23" s="9"/>
      <c r="R23" s="9"/>
    </row>
    <row r="24" ht="12.75" customHeight="1">
      <c r="A24" s="9" t="s">
        <v>144</v>
      </c>
      <c r="B24" s="9"/>
      <c r="C24" s="9"/>
      <c r="D24" s="16"/>
      <c r="E24" s="9"/>
      <c r="F24" s="9"/>
      <c r="G24" s="9"/>
      <c r="H24" s="9"/>
      <c r="I24" s="9"/>
      <c r="J24" s="9"/>
      <c r="K24" s="9"/>
      <c r="L24" s="9"/>
      <c r="M24" s="9"/>
      <c r="N24" s="16"/>
      <c r="O24" s="9"/>
      <c r="P24" s="9"/>
      <c r="Q24" s="9"/>
      <c r="R24" s="9"/>
    </row>
    <row r="25" ht="12.75" customHeight="1">
      <c r="A25" s="9" t="s">
        <v>145</v>
      </c>
      <c r="B25" s="9"/>
      <c r="C25" s="9"/>
      <c r="D25" s="16"/>
      <c r="E25" s="9"/>
      <c r="F25" s="9"/>
      <c r="G25" s="9"/>
      <c r="H25" s="9"/>
      <c r="I25" s="9"/>
      <c r="J25" s="9"/>
      <c r="K25" s="9"/>
      <c r="L25" s="9"/>
      <c r="M25" s="9"/>
      <c r="N25" s="16"/>
      <c r="O25" s="9"/>
      <c r="P25" s="9"/>
      <c r="Q25" s="9"/>
      <c r="R25" s="9"/>
    </row>
    <row r="26" ht="12.75" customHeight="1">
      <c r="A26" s="9" t="s">
        <v>146</v>
      </c>
      <c r="B26" s="9"/>
      <c r="C26" s="9"/>
      <c r="D26" s="16"/>
      <c r="E26" s="9"/>
      <c r="F26" s="9"/>
      <c r="G26" s="9"/>
      <c r="H26" s="9"/>
      <c r="I26" s="9"/>
      <c r="J26" s="9"/>
      <c r="K26" s="9"/>
      <c r="L26" s="9"/>
      <c r="M26" s="9"/>
      <c r="N26" s="16"/>
      <c r="O26" s="9"/>
      <c r="P26" s="9"/>
      <c r="Q26" s="9"/>
      <c r="R26" s="9"/>
    </row>
    <row r="27" ht="12.75" customHeight="1">
      <c r="A27" s="9" t="s">
        <v>147</v>
      </c>
      <c r="B27" s="9"/>
      <c r="C27" s="9"/>
      <c r="D27" s="16"/>
      <c r="E27" s="9"/>
      <c r="F27" s="9"/>
      <c r="G27" s="9"/>
      <c r="H27" s="9"/>
      <c r="I27" s="9"/>
      <c r="J27" s="9"/>
      <c r="K27" s="9"/>
      <c r="L27" s="9"/>
      <c r="M27" s="9"/>
      <c r="N27" s="16"/>
      <c r="O27" s="9"/>
      <c r="P27" s="9"/>
      <c r="Q27" s="9"/>
      <c r="R27" s="9"/>
    </row>
    <row r="28" ht="12.75" customHeight="1">
      <c r="A28" s="9" t="s">
        <v>148</v>
      </c>
      <c r="B28" s="9"/>
      <c r="C28" s="9"/>
      <c r="D28" s="16"/>
      <c r="E28" s="9"/>
      <c r="F28" s="9"/>
      <c r="G28" s="9"/>
      <c r="H28" s="9"/>
      <c r="I28" s="9"/>
      <c r="J28" s="9"/>
      <c r="K28" s="9"/>
      <c r="L28" s="9"/>
      <c r="M28" s="9"/>
      <c r="N28" s="16"/>
      <c r="O28" s="9"/>
      <c r="P28" s="9"/>
      <c r="Q28" s="9"/>
      <c r="R28" s="9"/>
    </row>
    <row r="29" ht="12.75" customHeight="1">
      <c r="A29" s="9" t="s">
        <v>149</v>
      </c>
      <c r="B29" s="9"/>
      <c r="C29" s="9"/>
      <c r="D29" s="16"/>
      <c r="E29" s="9"/>
      <c r="F29" s="9"/>
      <c r="G29" s="9"/>
      <c r="H29" s="9"/>
      <c r="I29" s="9"/>
      <c r="J29" s="9"/>
      <c r="K29" s="9"/>
      <c r="L29" s="9"/>
      <c r="M29" s="9"/>
      <c r="N29" s="16"/>
      <c r="O29" s="9"/>
      <c r="P29" s="9"/>
      <c r="Q29" s="9"/>
      <c r="R29" s="9"/>
    </row>
    <row r="30" ht="12.75" customHeight="1">
      <c r="A30" s="9" t="s">
        <v>150</v>
      </c>
      <c r="B30" s="9"/>
      <c r="C30" s="9"/>
      <c r="D30" s="16"/>
      <c r="E30" s="9"/>
      <c r="F30" s="9"/>
      <c r="G30" s="9"/>
      <c r="H30" s="9"/>
      <c r="I30" s="9"/>
      <c r="J30" s="9"/>
      <c r="K30" s="9"/>
      <c r="L30" s="9"/>
      <c r="M30" s="9"/>
      <c r="N30" s="16"/>
      <c r="O30" s="9"/>
      <c r="P30" s="9"/>
      <c r="Q30" s="9"/>
      <c r="R30" s="9"/>
    </row>
    <row r="31" ht="12.75" customHeight="1">
      <c r="A31" s="9" t="s">
        <v>151</v>
      </c>
      <c r="B31" s="9"/>
      <c r="C31" s="9"/>
      <c r="D31" s="16"/>
      <c r="E31" s="9"/>
      <c r="F31" s="9"/>
      <c r="G31" s="9"/>
      <c r="H31" s="9"/>
      <c r="I31" s="9"/>
      <c r="J31" s="9"/>
      <c r="K31" s="9"/>
      <c r="L31" s="9"/>
      <c r="M31" s="9"/>
      <c r="N31" s="16"/>
      <c r="O31" s="9"/>
      <c r="P31" s="9"/>
      <c r="Q31" s="9"/>
      <c r="R31" s="9"/>
    </row>
    <row r="32" ht="12.75" customHeight="1">
      <c r="A32" s="9" t="s">
        <v>152</v>
      </c>
      <c r="B32" s="9"/>
      <c r="C32" s="9"/>
      <c r="D32" s="16"/>
      <c r="E32" s="9"/>
      <c r="F32" s="9"/>
      <c r="G32" s="9"/>
      <c r="H32" s="9"/>
      <c r="I32" s="9"/>
      <c r="J32" s="9"/>
      <c r="K32" s="9"/>
      <c r="L32" s="9"/>
      <c r="M32" s="9"/>
      <c r="N32" s="16"/>
      <c r="O32" s="9"/>
      <c r="P32" s="9"/>
      <c r="Q32" s="9"/>
      <c r="R32" s="9"/>
    </row>
    <row r="33" ht="12.75" customHeight="1">
      <c r="A33" s="9" t="s">
        <v>153</v>
      </c>
      <c r="B33" s="9"/>
      <c r="C33" s="9"/>
      <c r="D33" s="16"/>
      <c r="E33" s="9"/>
      <c r="F33" s="9"/>
      <c r="G33" s="9"/>
      <c r="H33" s="9"/>
      <c r="I33" s="9"/>
      <c r="J33" s="9"/>
      <c r="K33" s="9"/>
      <c r="L33" s="9"/>
      <c r="M33" s="9"/>
      <c r="N33" s="16"/>
      <c r="O33" s="9"/>
      <c r="P33" s="9"/>
      <c r="Q33" s="9"/>
      <c r="R33" s="9"/>
    </row>
    <row r="34" ht="12.75" customHeight="1">
      <c r="A34" s="9" t="s">
        <v>154</v>
      </c>
      <c r="B34" s="9"/>
      <c r="C34" s="9"/>
      <c r="D34" s="16"/>
      <c r="E34" s="9"/>
      <c r="F34" s="9"/>
      <c r="G34" s="9"/>
      <c r="H34" s="9"/>
      <c r="I34" s="9"/>
      <c r="J34" s="9"/>
      <c r="K34" s="9"/>
      <c r="L34" s="9"/>
      <c r="M34" s="9"/>
      <c r="N34" s="16"/>
      <c r="O34" s="9"/>
      <c r="P34" s="9"/>
      <c r="Q34" s="9"/>
      <c r="R34" s="9"/>
    </row>
    <row r="35" ht="12.75" customHeight="1">
      <c r="A35" s="9" t="s">
        <v>155</v>
      </c>
      <c r="B35" s="9"/>
      <c r="C35" s="9"/>
      <c r="D35" s="16"/>
      <c r="E35" s="9"/>
      <c r="F35" s="9"/>
      <c r="G35" s="9"/>
      <c r="H35" s="9"/>
      <c r="I35" s="9"/>
      <c r="J35" s="9"/>
      <c r="K35" s="9"/>
      <c r="L35" s="9"/>
      <c r="M35" s="9"/>
      <c r="N35" s="16"/>
      <c r="O35" s="9"/>
      <c r="P35" s="9"/>
      <c r="Q35" s="9"/>
      <c r="R35" s="9"/>
    </row>
    <row r="36" ht="12.75" customHeight="1">
      <c r="A36" s="9" t="s">
        <v>156</v>
      </c>
      <c r="B36" s="9"/>
      <c r="C36" s="9"/>
      <c r="D36" s="16"/>
      <c r="E36" s="9"/>
      <c r="F36" s="9"/>
      <c r="G36" s="9"/>
      <c r="H36" s="9"/>
      <c r="I36" s="9"/>
      <c r="J36" s="9"/>
      <c r="K36" s="9"/>
      <c r="L36" s="9"/>
      <c r="M36" s="9"/>
      <c r="N36" s="16"/>
      <c r="O36" s="9"/>
      <c r="P36" s="9"/>
      <c r="Q36" s="9"/>
      <c r="R36" s="9"/>
    </row>
    <row r="37" ht="12.75" customHeight="1">
      <c r="A37" s="9" t="s">
        <v>157</v>
      </c>
      <c r="B37" s="9"/>
      <c r="C37" s="9"/>
      <c r="D37" s="16"/>
      <c r="E37" s="9"/>
      <c r="F37" s="9"/>
      <c r="G37" s="9"/>
      <c r="H37" s="9"/>
      <c r="I37" s="9"/>
      <c r="J37" s="9"/>
      <c r="K37" s="9"/>
      <c r="L37" s="9"/>
      <c r="M37" s="9"/>
      <c r="N37" s="16"/>
      <c r="O37" s="9"/>
      <c r="P37" s="9"/>
      <c r="Q37" s="9"/>
      <c r="R37" s="9"/>
    </row>
    <row r="38" ht="12.75" customHeight="1">
      <c r="A38" s="9" t="s">
        <v>158</v>
      </c>
      <c r="B38" s="9"/>
      <c r="C38" s="9"/>
      <c r="D38" s="16"/>
      <c r="E38" s="9"/>
      <c r="F38" s="9"/>
      <c r="G38" s="9"/>
      <c r="H38" s="9"/>
      <c r="I38" s="9"/>
      <c r="J38" s="9"/>
      <c r="K38" s="9"/>
      <c r="L38" s="9"/>
      <c r="M38" s="9"/>
      <c r="N38" s="16"/>
      <c r="O38" s="9"/>
      <c r="P38" s="9"/>
      <c r="Q38" s="9"/>
      <c r="R38" s="9"/>
    </row>
    <row r="39" ht="12.75" customHeight="1">
      <c r="A39" s="9" t="s">
        <v>159</v>
      </c>
      <c r="B39" s="9"/>
      <c r="C39" s="9"/>
      <c r="D39" s="16"/>
      <c r="E39" s="9"/>
      <c r="F39" s="9"/>
      <c r="G39" s="9"/>
      <c r="H39" s="9"/>
      <c r="I39" s="9"/>
      <c r="J39" s="9"/>
      <c r="K39" s="9"/>
      <c r="L39" s="9"/>
      <c r="M39" s="9"/>
      <c r="N39" s="16"/>
      <c r="O39" s="9"/>
      <c r="P39" s="9"/>
      <c r="Q39" s="9"/>
      <c r="R39" s="9"/>
    </row>
    <row r="40" ht="12.75" customHeight="1">
      <c r="A40" s="9" t="s">
        <v>160</v>
      </c>
      <c r="B40" s="9"/>
      <c r="C40" s="9"/>
      <c r="D40" s="16"/>
      <c r="E40" s="9"/>
      <c r="F40" s="9"/>
      <c r="G40" s="9"/>
      <c r="H40" s="9"/>
      <c r="I40" s="9"/>
      <c r="J40" s="9"/>
      <c r="K40" s="9"/>
      <c r="L40" s="9"/>
      <c r="M40" s="9"/>
      <c r="N40" s="16"/>
      <c r="O40" s="9"/>
      <c r="P40" s="9"/>
      <c r="Q40" s="9"/>
      <c r="R40" s="9"/>
    </row>
    <row r="41" ht="12.75" customHeight="1">
      <c r="A41" s="9" t="s">
        <v>161</v>
      </c>
      <c r="B41" s="9"/>
      <c r="C41" s="9"/>
      <c r="D41" s="16"/>
      <c r="E41" s="9"/>
      <c r="F41" s="9"/>
      <c r="G41" s="9"/>
      <c r="H41" s="9"/>
      <c r="I41" s="9"/>
      <c r="J41" s="9"/>
      <c r="K41" s="9"/>
      <c r="L41" s="9"/>
      <c r="M41" s="9"/>
      <c r="N41" s="16"/>
      <c r="O41" s="9"/>
      <c r="P41" s="9"/>
      <c r="Q41" s="9"/>
      <c r="R41" s="9"/>
    </row>
    <row r="42" ht="12.75" customHeight="1">
      <c r="A42" s="9" t="s">
        <v>162</v>
      </c>
      <c r="B42" s="9"/>
      <c r="C42" s="9"/>
      <c r="D42" s="16"/>
      <c r="E42" s="9"/>
      <c r="F42" s="9"/>
      <c r="G42" s="9"/>
      <c r="H42" s="9"/>
      <c r="I42" s="9"/>
      <c r="J42" s="9"/>
      <c r="K42" s="9"/>
      <c r="L42" s="9"/>
      <c r="M42" s="9"/>
      <c r="N42" s="16"/>
      <c r="O42" s="9"/>
      <c r="P42" s="9"/>
      <c r="Q42" s="9"/>
      <c r="R42" s="9"/>
    </row>
    <row r="43" ht="12.75" customHeight="1">
      <c r="A43" s="9" t="s">
        <v>163</v>
      </c>
      <c r="B43" s="9"/>
      <c r="C43" s="9"/>
      <c r="D43" s="16"/>
      <c r="E43" s="9"/>
      <c r="F43" s="9"/>
      <c r="G43" s="9"/>
      <c r="H43" s="9"/>
      <c r="I43" s="9"/>
      <c r="J43" s="9"/>
      <c r="K43" s="9"/>
      <c r="L43" s="9"/>
      <c r="M43" s="9"/>
      <c r="N43" s="16"/>
      <c r="O43" s="9"/>
      <c r="P43" s="9"/>
      <c r="Q43" s="9"/>
      <c r="R43" s="9"/>
    </row>
    <row r="44" ht="12.75" customHeight="1">
      <c r="A44" s="9" t="s">
        <v>164</v>
      </c>
      <c r="B44" s="9"/>
      <c r="C44" s="9"/>
      <c r="D44" s="16"/>
      <c r="E44" s="9"/>
      <c r="F44" s="9"/>
      <c r="G44" s="9"/>
      <c r="H44" s="9"/>
      <c r="I44" s="9"/>
      <c r="J44" s="9"/>
      <c r="K44" s="9"/>
      <c r="L44" s="9"/>
      <c r="M44" s="9"/>
      <c r="N44" s="16"/>
      <c r="O44" s="9"/>
      <c r="P44" s="9"/>
      <c r="Q44" s="9"/>
      <c r="R44" s="9"/>
    </row>
    <row r="45" ht="12.75" customHeight="1">
      <c r="A45" s="9" t="s">
        <v>165</v>
      </c>
      <c r="B45" s="9"/>
      <c r="C45" s="9"/>
      <c r="D45" s="16"/>
      <c r="E45" s="9"/>
      <c r="F45" s="9"/>
      <c r="G45" s="9"/>
      <c r="H45" s="9"/>
      <c r="I45" s="9"/>
      <c r="J45" s="9"/>
      <c r="K45" s="9"/>
      <c r="L45" s="9"/>
      <c r="M45" s="9"/>
      <c r="N45" s="16"/>
      <c r="O45" s="9"/>
      <c r="P45" s="9"/>
      <c r="Q45" s="9"/>
      <c r="R45" s="9"/>
    </row>
    <row r="46" ht="12.75" customHeight="1">
      <c r="A46" s="9" t="s">
        <v>166</v>
      </c>
      <c r="B46" s="9"/>
      <c r="C46" s="9"/>
      <c r="D46" s="16"/>
      <c r="E46" s="9"/>
      <c r="F46" s="9"/>
      <c r="G46" s="9"/>
      <c r="H46" s="9"/>
      <c r="I46" s="9"/>
      <c r="J46" s="9"/>
      <c r="K46" s="9"/>
      <c r="L46" s="9"/>
      <c r="M46" s="9"/>
      <c r="N46" s="16"/>
      <c r="O46" s="9"/>
      <c r="P46" s="9"/>
      <c r="Q46" s="9"/>
      <c r="R46" s="9"/>
    </row>
    <row r="47" ht="12.75" customHeight="1">
      <c r="A47" s="9" t="s">
        <v>167</v>
      </c>
      <c r="B47" s="9"/>
      <c r="C47" s="9"/>
      <c r="D47" s="16"/>
      <c r="E47" s="9"/>
      <c r="F47" s="9"/>
      <c r="G47" s="9"/>
      <c r="H47" s="9"/>
      <c r="I47" s="9"/>
      <c r="J47" s="9"/>
      <c r="K47" s="9"/>
      <c r="L47" s="9"/>
      <c r="M47" s="9"/>
      <c r="N47" s="16"/>
      <c r="O47" s="9"/>
      <c r="P47" s="9"/>
      <c r="Q47" s="9"/>
      <c r="R47" s="9"/>
    </row>
    <row r="48" ht="12.75" customHeight="1">
      <c r="A48" s="9" t="s">
        <v>168</v>
      </c>
      <c r="B48" s="9"/>
      <c r="C48" s="9"/>
      <c r="D48" s="16"/>
      <c r="E48" s="9"/>
      <c r="F48" s="9"/>
      <c r="G48" s="9"/>
      <c r="H48" s="9"/>
      <c r="I48" s="9"/>
      <c r="J48" s="9"/>
      <c r="K48" s="9"/>
      <c r="L48" s="9"/>
      <c r="M48" s="9"/>
      <c r="N48" s="16"/>
      <c r="O48" s="9"/>
      <c r="P48" s="9"/>
      <c r="Q48" s="9"/>
      <c r="R48" s="9"/>
    </row>
    <row r="49" ht="12.75" customHeight="1">
      <c r="A49" s="9" t="s">
        <v>169</v>
      </c>
      <c r="B49" s="9"/>
      <c r="C49" s="9"/>
      <c r="D49" s="16"/>
      <c r="E49" s="9"/>
      <c r="F49" s="9"/>
      <c r="G49" s="9"/>
      <c r="H49" s="9"/>
      <c r="I49" s="9"/>
      <c r="J49" s="9"/>
      <c r="K49" s="9"/>
      <c r="L49" s="9"/>
      <c r="M49" s="9"/>
      <c r="N49" s="16"/>
      <c r="O49" s="9"/>
      <c r="P49" s="9"/>
      <c r="Q49" s="9"/>
      <c r="R49" s="9"/>
    </row>
    <row r="50" ht="12.75" customHeight="1">
      <c r="A50" s="9" t="s">
        <v>170</v>
      </c>
      <c r="B50" s="9"/>
      <c r="C50" s="9"/>
      <c r="D50" s="16"/>
      <c r="E50" s="9"/>
      <c r="F50" s="9"/>
      <c r="G50" s="9"/>
      <c r="H50" s="9"/>
      <c r="I50" s="9"/>
      <c r="J50" s="9"/>
      <c r="K50" s="9"/>
      <c r="L50" s="9"/>
      <c r="M50" s="9"/>
      <c r="N50" s="16"/>
      <c r="O50" s="9"/>
      <c r="P50" s="9"/>
      <c r="Q50" s="9"/>
      <c r="R50" s="9"/>
    </row>
    <row r="51" ht="12.75" customHeight="1">
      <c r="A51" s="9" t="s">
        <v>171</v>
      </c>
      <c r="B51" s="9"/>
      <c r="C51" s="9"/>
      <c r="D51" s="16"/>
      <c r="E51" s="9"/>
      <c r="F51" s="9"/>
      <c r="G51" s="9"/>
      <c r="H51" s="9"/>
      <c r="I51" s="9"/>
      <c r="J51" s="9"/>
      <c r="K51" s="9"/>
      <c r="L51" s="9"/>
      <c r="M51" s="9"/>
      <c r="N51" s="16"/>
      <c r="O51" s="9"/>
      <c r="P51" s="9"/>
      <c r="Q51" s="9"/>
      <c r="R51" s="9"/>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conditionalFormatting sqref="N2:N51">
    <cfRule type="colorScale" priority="1">
      <colorScale>
        <cfvo type="min"/>
        <cfvo type="percentile" val="50"/>
        <cfvo type="max"/>
        <color rgb="FFFCE4D6"/>
        <color rgb="FFFFF2CC"/>
        <color rgb="FFE2F0D9"/>
      </colorScale>
    </cfRule>
  </conditionalFormatting>
  <conditionalFormatting sqref="O2:O51">
    <cfRule type="expression" dxfId="5" priority="2">
      <formula>$O2="Included"</formula>
    </cfRule>
  </conditionalFormatting>
  <conditionalFormatting sqref="P2:P51">
    <cfRule type="expression" dxfId="6" priority="3">
      <formula>$P2="High"</formula>
    </cfRule>
  </conditionalFormatting>
  <dataValidations>
    <dataValidation type="list" allowBlank="1" sqref="H2:H51">
      <formula1>Lists!$D$2:$D$9</formula1>
    </dataValidation>
    <dataValidation type="list" allowBlank="1" sqref="O2:O51">
      <formula1>Lists!$A$2:$A$6</formula1>
    </dataValidation>
    <dataValidation type="list" allowBlank="1" sqref="P2:P51">
      <formula1>Lists!$B$2:$B$5</formula1>
    </dataValidation>
    <dataValidation type="list" allowBlank="1" sqref="N2:N51">
      <formula1>Lists!$E$2:$E$6</formula1>
    </dataValidation>
    <dataValidation type="list" allowBlank="1" sqref="F2:F51">
      <formula1>Lists!$C$2:$C$7</formula1>
    </dataValidation>
  </dataValidations>
  <hyperlinks>
    <hyperlink r:id="rId1" ref="R2"/>
    <hyperlink r:id="rId2" ref="R3"/>
    <hyperlink r:id="rId3" ref="I4"/>
    <hyperlink r:id="rId4" ref="R4"/>
    <hyperlink r:id="rId5" ref="R5"/>
    <hyperlink r:id="rId6" ref="R6"/>
  </hyperlinks>
  <printOptions/>
  <pageMargins bottom="0.75" footer="0.0" header="0.0" left="0.7" right="0.7" top="0.75"/>
  <pageSetup orientation="landscape"/>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6.63"/>
    <col customWidth="1" min="3" max="3" width="14.13"/>
    <col customWidth="1" min="4" max="4" width="14.63"/>
    <col customWidth="1" min="5" max="5" width="10.88"/>
    <col customWidth="1" min="6" max="26" width="8.88"/>
  </cols>
  <sheetData>
    <row r="1" ht="12.75" customHeight="1">
      <c r="A1" s="1" t="s">
        <v>0</v>
      </c>
      <c r="B1" s="1" t="s">
        <v>2</v>
      </c>
      <c r="C1" s="1" t="s">
        <v>3</v>
      </c>
      <c r="D1" s="1" t="s">
        <v>4</v>
      </c>
      <c r="E1" s="1" t="s">
        <v>5</v>
      </c>
    </row>
    <row r="2" ht="12.75" customHeight="1">
      <c r="A2" s="3" t="s">
        <v>6</v>
      </c>
      <c r="B2" s="3" t="s">
        <v>7</v>
      </c>
      <c r="C2" s="3" t="s">
        <v>8</v>
      </c>
      <c r="D2" s="3" t="s">
        <v>9</v>
      </c>
      <c r="E2" s="3">
        <v>1.0</v>
      </c>
    </row>
    <row r="3" ht="12.75" customHeight="1">
      <c r="A3" s="3" t="s">
        <v>10</v>
      </c>
      <c r="B3" s="3" t="s">
        <v>11</v>
      </c>
      <c r="C3" s="3" t="s">
        <v>12</v>
      </c>
      <c r="D3" s="3" t="s">
        <v>13</v>
      </c>
      <c r="E3" s="3">
        <v>2.0</v>
      </c>
    </row>
    <row r="4" ht="12.75" customHeight="1">
      <c r="A4" s="3" t="s">
        <v>15</v>
      </c>
      <c r="B4" s="3" t="s">
        <v>16</v>
      </c>
      <c r="C4" s="3" t="s">
        <v>17</v>
      </c>
      <c r="D4" s="3" t="s">
        <v>18</v>
      </c>
      <c r="E4" s="3">
        <v>3.0</v>
      </c>
    </row>
    <row r="5" ht="12.75" customHeight="1">
      <c r="A5" s="3" t="s">
        <v>25</v>
      </c>
      <c r="B5" s="3" t="s">
        <v>27</v>
      </c>
      <c r="C5" s="3" t="s">
        <v>29</v>
      </c>
      <c r="D5" s="3" t="s">
        <v>30</v>
      </c>
      <c r="E5" s="3">
        <v>4.0</v>
      </c>
    </row>
    <row r="6" ht="12.75" customHeight="1">
      <c r="A6" s="3" t="s">
        <v>33</v>
      </c>
      <c r="C6" s="3" t="s">
        <v>35</v>
      </c>
      <c r="D6" s="3" t="s">
        <v>37</v>
      </c>
      <c r="E6" s="3">
        <v>5.0</v>
      </c>
    </row>
    <row r="7" ht="12.75" customHeight="1">
      <c r="C7" s="3" t="s">
        <v>39</v>
      </c>
      <c r="D7" s="3" t="s">
        <v>41</v>
      </c>
    </row>
    <row r="8" ht="12.75" customHeight="1">
      <c r="D8" s="3" t="s">
        <v>42</v>
      </c>
    </row>
    <row r="9" ht="12.75" customHeight="1">
      <c r="D9" s="3" t="s">
        <v>44</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70.0"/>
    <col customWidth="1" min="3" max="26" width="8.88"/>
  </cols>
  <sheetData>
    <row r="1" ht="39.75" customHeight="1">
      <c r="A1" s="2" t="s">
        <v>1</v>
      </c>
      <c r="B1" s="4"/>
      <c r="C1" s="4"/>
      <c r="D1" s="4"/>
      <c r="E1" s="4"/>
      <c r="F1" s="5"/>
    </row>
    <row r="2" ht="12.75" customHeight="1"/>
    <row r="3" ht="12.75" customHeight="1">
      <c r="A3" s="6" t="s">
        <v>14</v>
      </c>
      <c r="B3" s="6" t="s">
        <v>19</v>
      </c>
    </row>
    <row r="4" ht="12.75" customHeight="1">
      <c r="A4" s="3" t="s">
        <v>21</v>
      </c>
      <c r="B4" s="3" t="s">
        <v>22</v>
      </c>
    </row>
    <row r="5" ht="12.75" customHeight="1">
      <c r="A5" s="3" t="s">
        <v>23</v>
      </c>
      <c r="B5" s="3" t="s">
        <v>24</v>
      </c>
    </row>
    <row r="6" ht="12.75" customHeight="1">
      <c r="A6" s="3" t="s">
        <v>26</v>
      </c>
      <c r="B6" s="3" t="s">
        <v>28</v>
      </c>
    </row>
    <row r="7" ht="12.75" customHeight="1">
      <c r="A7" s="3" t="s">
        <v>31</v>
      </c>
      <c r="B7" s="3" t="s">
        <v>32</v>
      </c>
    </row>
    <row r="8" ht="12.75" customHeight="1">
      <c r="A8" s="3" t="s">
        <v>34</v>
      </c>
      <c r="B8" s="3" t="s">
        <v>36</v>
      </c>
    </row>
    <row r="9" ht="12.75" customHeight="1">
      <c r="A9" s="3" t="s">
        <v>38</v>
      </c>
      <c r="B9" s="3" t="s">
        <v>40</v>
      </c>
    </row>
    <row r="10" ht="12.75" customHeight="1">
      <c r="A10" s="3" t="s">
        <v>38</v>
      </c>
      <c r="B10" s="3" t="s">
        <v>43</v>
      </c>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8.0"/>
    <col customWidth="1" min="6" max="26" width="8.88"/>
  </cols>
  <sheetData>
    <row r="1" ht="39.75" customHeight="1">
      <c r="A1" s="14" t="s">
        <v>112</v>
      </c>
      <c r="B1" s="4"/>
      <c r="C1" s="4"/>
      <c r="D1" s="4"/>
      <c r="E1" s="4"/>
      <c r="F1" s="4"/>
      <c r="G1" s="4"/>
      <c r="H1" s="5"/>
    </row>
    <row r="2" ht="12.75" customHeight="1"/>
    <row r="3" ht="12.75" customHeight="1">
      <c r="A3" s="1" t="s">
        <v>117</v>
      </c>
      <c r="B3" s="1" t="s">
        <v>119</v>
      </c>
      <c r="D3" s="1" t="s">
        <v>120</v>
      </c>
      <c r="E3" s="1" t="s">
        <v>121</v>
      </c>
    </row>
    <row r="4" ht="12.75" customHeight="1">
      <c r="A4" s="15" t="s">
        <v>122</v>
      </c>
      <c r="B4" s="17">
        <f>COUNTA('Research Matrix'!B2:B51)</f>
        <v>5</v>
      </c>
      <c r="D4" s="3" t="s">
        <v>6</v>
      </c>
      <c r="E4" s="3">
        <f>COUNTIF('Research Matrix'!O2:O51,D4)</f>
        <v>0</v>
      </c>
    </row>
    <row r="5" ht="12.75" customHeight="1">
      <c r="A5" s="15" t="s">
        <v>124</v>
      </c>
      <c r="B5" s="17">
        <f>COUNTIF('Research Matrix'!O2:O51,"Reviewed")+COUNTIF('Research Matrix'!O2:O51,"Included")</f>
        <v>5</v>
      </c>
      <c r="D5" s="3" t="s">
        <v>10</v>
      </c>
      <c r="E5" s="3">
        <f>COUNTIF('Research Matrix'!O2:O51,D5)</f>
        <v>0</v>
      </c>
    </row>
    <row r="6" ht="12.75" customHeight="1">
      <c r="A6" s="15" t="s">
        <v>126</v>
      </c>
      <c r="B6" s="17">
        <f>COUNTIF('Research Matrix'!O2:O51,"Included")</f>
        <v>0</v>
      </c>
      <c r="D6" s="3" t="s">
        <v>15</v>
      </c>
      <c r="E6" s="3">
        <f>COUNTIF('Research Matrix'!O2:O51,D6)</f>
        <v>0</v>
      </c>
    </row>
    <row r="7" ht="12.75" customHeight="1">
      <c r="A7" s="15" t="s">
        <v>128</v>
      </c>
      <c r="B7" s="17">
        <f>COUNTIF('Research Matrix'!P2:P51,"High")</f>
        <v>3</v>
      </c>
      <c r="D7" s="3" t="s">
        <v>25</v>
      </c>
      <c r="E7" s="3">
        <f>COUNTIF('Research Matrix'!O2:O51,D7)</f>
        <v>5</v>
      </c>
    </row>
    <row r="8" ht="12.75" customHeight="1">
      <c r="A8" s="15" t="s">
        <v>129</v>
      </c>
      <c r="B8" s="17">
        <f>IFERROR(AVERAGE('Research Matrix'!N2:N51),"")</f>
        <v>4</v>
      </c>
      <c r="D8" s="3" t="s">
        <v>33</v>
      </c>
      <c r="E8" s="3">
        <f>COUNTIF('Research Matrix'!O2:O51,D8)</f>
        <v>0</v>
      </c>
    </row>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H1"/>
  </mergeCells>
  <printOptions/>
  <pageMargins bottom="0.75" footer="0.0" header="0.0" left="0.7" right="0.7" top="0.75"/>
  <pageSetup orientation="landscape"/>
  <drawing r:id="rId1"/>
</worksheet>
</file>